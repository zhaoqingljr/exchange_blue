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0523af8b4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总览" sheetId="1" r:id="Rbabf9359d371460d"/>
    <x:sheet xmlns:r="http://schemas.openxmlformats.org/officeDocument/2006/relationships" name="五轮原始数据" sheetId="2" r:id="R4f0d505d38ba4526"/>
    <x:sheet xmlns:r="http://schemas.openxmlformats.org/officeDocument/2006/relationships" name="测试说明" sheetId="3" r:id="R372a2cb673e7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%"/>
    <x:numFmt numFmtId="202" formatCode="+0.00%;-0.00%;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3f5ed3bb74be1" /><Relationship Type="http://schemas.openxmlformats.org/officeDocument/2006/relationships/theme" Target="/xl/theme/theme1.xml" Id="R2829f3f450ba47a3" /><Relationship Type="http://schemas.openxmlformats.org/officeDocument/2006/relationships/sharedStrings" Target="/xl/sharedStrings.xml" Id="R3eab4cfc8dd1458b" /><Relationship Type="http://schemas.openxmlformats.org/officeDocument/2006/relationships/worksheet" Target="/xl/worksheets/sheet1.xml" Id="Rbabf9359d371460d" /><Relationship Type="http://schemas.openxmlformats.org/officeDocument/2006/relationships/worksheet" Target="/xl/worksheets/sheet2.xml" Id="R4f0d505d38ba4526" /><Relationship Type="http://schemas.openxmlformats.org/officeDocument/2006/relationships/worksheet" Target="/xl/worksheets/sheet3.xml" Id="R372a2cb673e742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Bolt TPC-DS 10T 原版 / PR 性能对比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16 条 SQL｜每个版本各 5 轮｜单位：秒｜正的耗时减少率表示 PR 更快，负值表示 PR 更慢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8" t="str">
        <x:v>统计项</x:v>
      </x:c>
      <x:c r="B4" s="8" t="str">
        <x:v>结果</x:v>
      </x:c>
    </x:row>
    <x:row r="5">
      <x:c r="A5" t="str">
        <x:v>SQL 数量</x:v>
      </x:c>
      <x:c r="B5" t="n">
        <x:v>16</x:v>
      </x:c>
    </x:row>
    <x:row r="6">
      <x:c r="A6" t="str">
        <x:v>PR 更快的 SQL</x:v>
      </x:c>
      <x:c r="B6" t="n">
        <x:v>13</x:v>
      </x:c>
    </x:row>
    <x:row r="7">
      <x:c r="A7" t="str">
        <x:v>PR 更慢的 SQL</x:v>
      </x:c>
      <x:c r="B7" t="n">
        <x:v>3</x:v>
      </x:c>
    </x:row>
    <x:row r="9">
      <x:c r="A9" s="10" t="str">
        <x:v>SQL</x:v>
      </x:c>
      <x:c r="B9" s="10" t="str">
        <x:v>原版均值 (s)</x:v>
      </x:c>
      <x:c r="C9" s="10" t="str">
        <x:v>PR 均值 (s)</x:v>
      </x:c>
      <x:c r="D9" s="10" t="str">
        <x:v>PR 耗时减少率</x:v>
      </x:c>
      <x:c r="E9" s="10" t="str">
        <x:v>性能方向</x:v>
      </x:c>
      <x:c r="F9" s="10" t="str">
        <x:v>原版波动下界</x:v>
      </x:c>
      <x:c r="G9" s="10" t="str">
        <x:v>原版波动上界</x:v>
      </x:c>
      <x:c r="H9" s="10" t="str">
        <x:v>PR 波动下界</x:v>
      </x:c>
      <x:c r="I9" s="10" t="str">
        <x:v>PR 波动上界</x:v>
      </x:c>
    </x:row>
    <x:row r="10">
      <x:c r="A10" s="11" t="str">
        <x:v>q9</x:v>
      </x:c>
      <x:c r="B10" s="13" t="n">
        <x:f>'五轮原始数据'!L2</x:f>
        <x:v>148.9124</x:v>
      </x:c>
      <x:c r="C10" s="13" t="n">
        <x:f>'五轮原始数据'!O2</x:f>
        <x:v>138.79919999999998</x:v>
      </x:c>
      <x:c r="D10" s="14" t="n">
        <x:f>('五轮原始数据'!L2-'五轮原始数据'!O2)/'五轮原始数据'!L2</x:f>
        <x:v>0.06791375332074433</x:v>
      </x:c>
      <x:c r="E10" s="11" t="str">
        <x:f>IF(D10&gt;0,"PR 更快",IF(D10&lt;0,"PR 更慢","持平"))</x:f>
        <x:v>PR 更快</x:v>
      </x:c>
      <x:c r="F10" s="15" t="n">
        <x:f>'五轮原始数据'!M2</x:f>
        <x:v>-0.041510310759882985</x:v>
      </x:c>
      <x:c r="G10" s="15" t="n">
        <x:f>'五轮原始数据'!N2</x:f>
        <x:v>0.022292300708335988</x:v>
      </x:c>
      <x:c r="H10" s="15" t="n">
        <x:f>'五轮原始数据'!P2</x:f>
        <x:v>-0.02165142162202649</x:v>
      </x:c>
      <x:c r="I10" s="15" t="n">
        <x:f>'五轮原始数据'!Q2</x:f>
        <x:v>0.032736499922189743</x:v>
      </x:c>
    </x:row>
    <x:row r="11">
      <x:c r="A11" s="11" t="str">
        <x:v>q14a</x:v>
      </x:c>
      <x:c r="B11" s="13" t="n">
        <x:f>'五轮原始数据'!L3</x:f>
        <x:v>169.30519999999999</x:v>
      </x:c>
      <x:c r="C11" s="13" t="n">
        <x:f>'五轮原始数据'!O3</x:f>
        <x:v>151.0514</x:v>
      </x:c>
      <x:c r="D11" s="14" t="n">
        <x:f>('五轮原始数据'!L3-'五轮原始数据'!O3)/'五轮原始数据'!L3</x:f>
        <x:v>0.10781594422380403</x:v>
      </x:c>
      <x:c r="E11" s="11" t="str">
        <x:f>IF(D11&gt;0,"PR 更快",IF(D11&lt;0,"PR 更慢","持平"))</x:f>
        <x:v>PR 更快</x:v>
      </x:c>
      <x:c r="F11" s="15" t="n">
        <x:f>'五轮原始数据'!M3</x:f>
        <x:v>-0.13749843477932144</x:v>
      </x:c>
      <x:c r="G11" s="15" t="n">
        <x:f>'五轮原始数据'!N3</x:f>
        <x:v>0.4542199530788187</x:v>
      </x:c>
      <x:c r="H11" s="15" t="n">
        <x:f>'五轮原始数据'!P3</x:f>
        <x:v>-0.08193502344235137</x:v>
      </x:c>
      <x:c r="I11" s="15" t="n">
        <x:f>'五轮原始数据'!Q3</x:f>
        <x:v>0.08798064764709235</x:v>
      </x:c>
    </x:row>
    <x:row r="12">
      <x:c r="A12" s="11" t="str">
        <x:v>q14b</x:v>
      </x:c>
      <x:c r="B12" s="13" t="n">
        <x:f>'五轮原始数据'!L4</x:f>
        <x:v>137.02299999999997</x:v>
      </x:c>
      <x:c r="C12" s="13" t="n">
        <x:f>'五轮原始数据'!O4</x:f>
        <x:v>133.6098</x:v>
      </x:c>
      <x:c r="D12" s="14" t="n">
        <x:f>('五轮原始数据'!L4-'五轮原始数据'!O4)/'五轮原始数据'!L4</x:f>
        <x:v>0.024909686694934145</x:v>
      </x:c>
      <x:c r="E12" s="11" t="str">
        <x:f>IF(D12&gt;0,"PR 更快",IF(D12&lt;0,"PR 更慢","持平"))</x:f>
        <x:v>PR 更快</x:v>
      </x:c>
      <x:c r="F12" s="15" t="n">
        <x:f>'五轮原始数据'!M4</x:f>
        <x:v>-0.03773818993891509</x:v>
      </x:c>
      <x:c r="G12" s="15" t="n">
        <x:f>'五轮原始数据'!N4</x:f>
        <x:v>0.034986827029039214</x:v>
      </x:c>
      <x:c r="H12" s="15" t="n">
        <x:f>'五轮原始数据'!P4</x:f>
        <x:v>-0.018732158868586035</x:v>
      </x:c>
      <x:c r="I12" s="15" t="n">
        <x:f>'五轮原始数据'!Q4</x:f>
        <x:v>0.05735507425353514</x:v>
      </x:c>
    </x:row>
    <x:row r="13">
      <x:c r="A13" s="11" t="str">
        <x:v>q16</x:v>
      </x:c>
      <x:c r="B13" s="13" t="n">
        <x:f>'五轮原始数据'!L5</x:f>
        <x:v>89.5864</x:v>
      </x:c>
      <x:c r="C13" s="13" t="n">
        <x:f>'五轮原始数据'!O5</x:f>
        <x:v>86.365</x:v>
      </x:c>
      <x:c r="D13" s="14" t="n">
        <x:f>('五轮原始数据'!L5-'五轮原始数据'!O5)/'五轮原始数据'!L5</x:f>
        <x:v>0.03595858299920527</x:v>
      </x:c>
      <x:c r="E13" s="11" t="str">
        <x:f>IF(D13&gt;0,"PR 更快",IF(D13&lt;0,"PR 更慢","持平"))</x:f>
        <x:v>PR 更快</x:v>
      </x:c>
      <x:c r="F13" s="15" t="n">
        <x:f>'五轮原始数据'!M5</x:f>
        <x:v>-0.04880651527463986</x:v>
      </x:c>
      <x:c r="G13" s="15" t="n">
        <x:f>'五轮原始数据'!N5</x:f>
        <x:v>0.05852004322084592</x:v>
      </x:c>
      <x:c r="H13" s="15" t="n">
        <x:f>'五轮原始数据'!P5</x:f>
        <x:v>-0.0300584727609563</x:v>
      </x:c>
      <x:c r="I13" s="15" t="n">
        <x:f>'五轮原始数据'!Q5</x:f>
        <x:v>0.02800903143634592</x:v>
      </x:c>
    </x:row>
    <x:row r="14">
      <x:c r="A14" s="11" t="str">
        <x:v>q23a</x:v>
      </x:c>
      <x:c r="B14" s="13" t="n">
        <x:f>'五轮原始数据'!L6</x:f>
        <x:v>331.71279999999996</x:v>
      </x:c>
      <x:c r="C14" s="13" t="n">
        <x:f>'五轮原始数据'!O6</x:f>
        <x:v>296.95099999999996</x:v>
      </x:c>
      <x:c r="D14" s="14" t="n">
        <x:f>('五轮原始数据'!L6-'五轮原始数据'!O6)/'五轮原始数据'!L6</x:f>
        <x:v>0.10479487074360712</x:v>
      </x:c>
      <x:c r="E14" s="11" t="str">
        <x:f>IF(D14&gt;0,"PR 更快",IF(D14&lt;0,"PR 更慢","持平"))</x:f>
        <x:v>PR 更快</x:v>
      </x:c>
      <x:c r="F14" s="15" t="n">
        <x:f>'五轮原始数据'!M6</x:f>
        <x:v>-0.13684669388700088</x:v>
      </x:c>
      <x:c r="G14" s="15" t="n">
        <x:f>'五轮原始数据'!N6</x:f>
        <x:v>0.24902928075130082</x:v>
      </x:c>
      <x:c r="H14" s="15" t="n">
        <x:f>'五轮原始数据'!P6</x:f>
        <x:v>-0.02966482685695615</x:v>
      </x:c>
      <x:c r="I14" s="15" t="n">
        <x:f>'五轮原始数据'!Q6</x:f>
        <x:v>0.06445171088832846</x:v>
      </x:c>
    </x:row>
    <x:row r="15">
      <x:c r="A15" s="11" t="str">
        <x:v>q23b</x:v>
      </x:c>
      <x:c r="B15" s="13" t="n">
        <x:f>'五轮原始数据'!L7</x:f>
        <x:v>392.2002</x:v>
      </x:c>
      <x:c r="C15" s="13" t="n">
        <x:f>'五轮原始数据'!O7</x:f>
        <x:v>401.3422</x:v>
      </x:c>
      <x:c r="D15" s="14" t="n">
        <x:f>('五轮原始数据'!L7-'五轮原始数据'!O7)/'五轮原始数据'!L7</x:f>
        <x:v>-0.023309524064495622</x:v>
      </x:c>
      <x:c r="E15" s="11" t="str">
        <x:f>IF(D15&gt;0,"PR 更快",IF(D15&lt;0,"PR 更慢","持平"))</x:f>
        <x:v>PR 更慢</x:v>
      </x:c>
      <x:c r="F15" s="15" t="n">
        <x:f>'五轮原始数据'!M7</x:f>
        <x:v>-0.0999673126122832</x:v>
      </x:c>
      <x:c r="G15" s="15" t="n">
        <x:f>'五轮原始数据'!N7</x:f>
        <x:v>0.16652158769934333</x:v>
      </x:c>
      <x:c r="H15" s="15" t="n">
        <x:f>'五轮原始数据'!P7</x:f>
        <x:v>-0.11148391572079885</x:v>
      </x:c>
      <x:c r="I15" s="15" t="n">
        <x:f>'五轮原始数据'!Q7</x:f>
        <x:v>0.28572823889439003</x:v>
      </x:c>
    </x:row>
    <x:row r="16">
      <x:c r="A16" s="11" t="str">
        <x:v>q24a</x:v>
      </x:c>
      <x:c r="B16" s="13" t="n">
        <x:f>'五轮原始数据'!L8</x:f>
        <x:v>602.4386</x:v>
      </x:c>
      <x:c r="C16" s="13" t="n">
        <x:f>'五轮原始数据'!O8</x:f>
        <x:v>605.7171999999999</x:v>
      </x:c>
      <x:c r="D16" s="14" t="n">
        <x:f>('五轮原始数据'!L8-'五轮原始数据'!O8)/'五轮原始数据'!L8</x:f>
        <x:v>-0.005442214360102396</x:v>
      </x:c>
      <x:c r="E16" s="11" t="str">
        <x:f>IF(D16&gt;0,"PR 更快",IF(D16&lt;0,"PR 更慢","持平"))</x:f>
        <x:v>PR 更慢</x:v>
      </x:c>
      <x:c r="F16" s="15" t="n">
        <x:f>'五轮原始数据'!M8</x:f>
        <x:v>-0.014850642040533213</x:v>
      </x:c>
      <x:c r="G16" s="15" t="n">
        <x:f>'五轮原始数据'!N8</x:f>
        <x:v>0.021629424143805087</x:v>
      </x:c>
      <x:c r="H16" s="15" t="n">
        <x:f>'五轮原始数据'!P8</x:f>
        <x:v>-0.041871355147253375</x:v>
      </x:c>
      <x:c r="I16" s="15" t="n">
        <x:f>'五轮原始数据'!Q8</x:f>
        <x:v>0.04791146759576925</x:v>
      </x:c>
    </x:row>
    <x:row r="17">
      <x:c r="A17" s="11" t="str">
        <x:v>q24b</x:v>
      </x:c>
      <x:c r="B17" s="13" t="n">
        <x:f>'五轮原始数据'!L9</x:f>
        <x:v>597.3781999999999</x:v>
      </x:c>
      <x:c r="C17" s="13" t="n">
        <x:f>'五轮原始数据'!O9</x:f>
        <x:v>582.6443999999999</x:v>
      </x:c>
      <x:c r="D17" s="14" t="n">
        <x:f>('五轮原始数据'!L9-'五轮原始数据'!O9)/'五轮原始数据'!L9</x:f>
        <x:v>0.024664107260693437</x:v>
      </x:c>
      <x:c r="E17" s="11" t="str">
        <x:f>IF(D17&gt;0,"PR 更快",IF(D17&lt;0,"PR 更慢","持平"))</x:f>
        <x:v>PR 更快</x:v>
      </x:c>
      <x:c r="F17" s="15" t="n">
        <x:f>'五轮原始数据'!M9</x:f>
        <x:v>-0.017488418559632457</x:v>
      </x:c>
      <x:c r="G17" s="15" t="n">
        <x:f>'五轮原始数据'!N9</x:f>
        <x:v>0.022208376536003716</x:v>
      </x:c>
      <x:c r="H17" s="15" t="n">
        <x:f>'五轮原始数据'!P9</x:f>
        <x:v>-0.0284142437479874</x:v>
      </x:c>
      <x:c r="I17" s="15" t="n">
        <x:f>'五轮原始数据'!Q9</x:f>
        <x:v>0.0442098130523525</x:v>
      </x:c>
    </x:row>
    <x:row r="18">
      <x:c r="A18" s="11" t="str">
        <x:v>q28</x:v>
      </x:c>
      <x:c r="B18" s="13" t="n">
        <x:f>'五轮原始数据'!L10</x:f>
        <x:v>179.4422</x:v>
      </x:c>
      <x:c r="C18" s="13" t="n">
        <x:f>'五轮原始数据'!O10</x:f>
        <x:v>167.8996</x:v>
      </x:c>
      <x:c r="D18" s="14" t="n">
        <x:f>('五轮原始数据'!L10-'五轮原始数据'!O10)/'五轮原始数据'!L10</x:f>
        <x:v>0.06432489124631786</x:v>
      </x:c>
      <x:c r="E18" s="11" t="str">
        <x:f>IF(D18&gt;0,"PR 更快",IF(D18&lt;0,"PR 更慢","持平"))</x:f>
        <x:v>PR 更快</x:v>
      </x:c>
      <x:c r="F18" s="15" t="n">
        <x:f>'五轮原始数据'!M10</x:f>
        <x:v>-0.006432154755124486</x:v>
      </x:c>
      <x:c r="G18" s="15" t="n">
        <x:f>'五轮原始数据'!N10</x:f>
        <x:v>0.007176684191343874</x:v>
      </x:c>
      <x:c r="H18" s="15" t="n">
        <x:f>'五轮原始数据'!P10</x:f>
        <x:v>-0.009920214223261947</x:v>
      </x:c>
      <x:c r="I18" s="15" t="n">
        <x:f>'五轮原始数据'!Q10</x:f>
        <x:v>0.014522964914746694</x:v>
      </x:c>
    </x:row>
    <x:row r="19">
      <x:c r="A19" s="11" t="str">
        <x:v>q50</x:v>
      </x:c>
      <x:c r="B19" s="13" t="n">
        <x:f>'五轮原始数据'!L11</x:f>
        <x:v>111.1192</x:v>
      </x:c>
      <x:c r="C19" s="13" t="n">
        <x:f>'五轮原始数据'!O11</x:f>
        <x:v>110.3558</x:v>
      </x:c>
      <x:c r="D19" s="14" t="n">
        <x:f>('五轮原始数据'!L11-'五轮原始数据'!O11)/'五轮原始数据'!L11</x:f>
        <x:v>0.006870099856730468</x:v>
      </x:c>
      <x:c r="E19" s="11" t="str">
        <x:f>IF(D19&gt;0,"PR 更快",IF(D19&lt;0,"PR 更慢","持平"))</x:f>
        <x:v>PR 更快</x:v>
      </x:c>
      <x:c r="F19" s="15" t="n">
        <x:f>'五轮原始数据'!M11</x:f>
        <x:v>-0.02511897133888652</x:v>
      </x:c>
      <x:c r="G19" s="15" t="n">
        <x:f>'五轮原始数据'!N11</x:f>
        <x:v>0.03172089071915574</x:v>
      </x:c>
      <x:c r="H19" s="15" t="n">
        <x:f>'五轮原始数据'!P11</x:f>
        <x:v>-0.038120334409247225</x:v>
      </x:c>
      <x:c r="I19" s="15" t="n">
        <x:f>'五轮原始数据'!Q11</x:f>
        <x:v>0.03739903113384169</x:v>
      </x:c>
    </x:row>
    <x:row r="20">
      <x:c r="A20" s="11" t="str">
        <x:v>q64</x:v>
      </x:c>
      <x:c r="B20" s="13" t="n">
        <x:f>'五轮原始数据'!L12</x:f>
        <x:v>162.36860000000001</x:v>
      </x:c>
      <x:c r="C20" s="13" t="n">
        <x:f>'五轮原始数据'!O12</x:f>
        <x:v>165.56599999999997</x:v>
      </x:c>
      <x:c r="D20" s="14" t="n">
        <x:f>('五轮原始数据'!L12-'五轮原始数据'!O12)/'五轮原始数据'!L12</x:f>
        <x:v>-0.019692231133359276</x:v>
      </x:c>
      <x:c r="E20" s="11" t="str">
        <x:f>IF(D20&gt;0,"PR 更快",IF(D20&lt;0,"PR 更慢","持平"))</x:f>
        <x:v>PR 更慢</x:v>
      </x:c>
      <x:c r="F20" s="15" t="n">
        <x:f>'五轮原始数据'!M12</x:f>
        <x:v>-0.021473363692241065</x:v>
      </x:c>
      <x:c r="G20" s="15" t="n">
        <x:f>'五轮原始数据'!N12</x:f>
        <x:v>0.024976504077758754</x:v>
      </x:c>
      <x:c r="H20" s="15" t="n">
        <x:f>'五轮原始数据'!P12</x:f>
        <x:v>-0.02182211323580907</x:v>
      </x:c>
      <x:c r="I20" s="15" t="n">
        <x:f>'五轮原始数据'!Q12</x:f>
        <x:v>0.015643308408731516</x:v>
      </x:c>
    </x:row>
    <x:row r="21">
      <x:c r="A21" s="11" t="str">
        <x:v>q75</x:v>
      </x:c>
      <x:c r="B21" s="13" t="n">
        <x:f>'五轮原始数据'!L13</x:f>
        <x:v>130.896</x:v>
      </x:c>
      <x:c r="C21" s="13" t="n">
        <x:f>'五轮原始数据'!O13</x:f>
        <x:v>129.0544</x:v>
      </x:c>
      <x:c r="D21" s="14" t="n">
        <x:f>('五轮原始数据'!L13-'五轮原始数据'!O13)/'五轮原始数据'!L13</x:f>
        <x:v>0.014069184696247402</x:v>
      </x:c>
      <x:c r="E21" s="11" t="str">
        <x:f>IF(D21&gt;0,"PR 更快",IF(D21&lt;0,"PR 更慢","持平"))</x:f>
        <x:v>PR 更快</x:v>
      </x:c>
      <x:c r="F21" s="15" t="n">
        <x:f>'五轮原始数据'!M13</x:f>
        <x:v>-0.03793087642097537</x:v>
      </x:c>
      <x:c r="G21" s="15" t="n">
        <x:f>'五轮原始数据'!N13</x:f>
        <x:v>0.017151020657621308</x:v>
      </x:c>
      <x:c r="H21" s="15" t="n">
        <x:f>'五轮原始数据'!P13</x:f>
        <x:v>-0.04544130227252996</x:v>
      </x:c>
      <x:c r="I21" s="15" t="n">
        <x:f>'五轮原始数据'!Q13</x:f>
        <x:v>0.040925377205271785</x:v>
      </x:c>
    </x:row>
    <x:row r="22">
      <x:c r="A22" s="11" t="str">
        <x:v>q78</x:v>
      </x:c>
      <x:c r="B22" s="13" t="n">
        <x:f>'五轮原始数据'!L14</x:f>
        <x:v>176.2292</x:v>
      </x:c>
      <x:c r="C22" s="13" t="n">
        <x:f>'五轮原始数据'!O14</x:f>
        <x:v>174.9884</x:v>
      </x:c>
      <x:c r="D22" s="14" t="n">
        <x:f>('五轮原始数据'!L14-'五轮原始数据'!O14)/'五轮原始数据'!L14</x:f>
        <x:v>0.007040830917918136</x:v>
      </x:c>
      <x:c r="E22" s="11" t="str">
        <x:f>IF(D22&gt;0,"PR 更快",IF(D22&lt;0,"PR 更慢","持平"))</x:f>
        <x:v>PR 更快</x:v>
      </x:c>
      <x:c r="F22" s="15" t="n">
        <x:f>'五轮原始数据'!M14</x:f>
        <x:v>-0.04701944967122351</x:v>
      </x:c>
      <x:c r="G22" s="15" t="n">
        <x:f>'五轮原始数据'!N14</x:f>
        <x:v>0.09393335497182087</x:v>
      </x:c>
      <x:c r="H22" s="15" t="n">
        <x:f>'五轮原始数据'!P14</x:f>
        <x:v>-0.02518109771847743</x:v>
      </x:c>
      <x:c r="I22" s="15" t="n">
        <x:f>'五轮原始数据'!Q14</x:f>
        <x:v>0.035628647384626566</x:v>
      </x:c>
    </x:row>
    <x:row r="23">
      <x:c r="A23" s="11" t="str">
        <x:v>q88</x:v>
      </x:c>
      <x:c r="B23" s="13" t="n">
        <x:f>'五轮原始数据'!L15</x:f>
        <x:v>135.02179999999998</x:v>
      </x:c>
      <x:c r="C23" s="13" t="n">
        <x:f>'五轮原始数据'!O15</x:f>
        <x:v>125.8536</x:v>
      </x:c>
      <x:c r="D23" s="14" t="n">
        <x:f>('五轮原始数据'!L15-'五轮原始数据'!O15)/'五轮原始数据'!L15</x:f>
        <x:v>0.06790162773715049</x:v>
      </x:c>
      <x:c r="E23" s="11" t="str">
        <x:f>IF(D23&gt;0,"PR 更快",IF(D23&lt;0,"PR 更慢","持平"))</x:f>
        <x:v>PR 更快</x:v>
      </x:c>
      <x:c r="F23" s="15" t="n">
        <x:f>'五轮原始数据'!M15</x:f>
        <x:v>-0.012248392481806536</x:v>
      </x:c>
      <x:c r="G23" s="15" t="n">
        <x:f>'五轮原始数据'!N15</x:f>
        <x:v>0.02404944979255208</x:v>
      </x:c>
      <x:c r="H23" s="15" t="n">
        <x:f>'五轮原始数据'!P15</x:f>
        <x:v>-0.0055747312750688005</x:v>
      </x:c>
      <x:c r="I23" s="15" t="n">
        <x:f>'五轮原始数据'!Q15</x:f>
        <x:v>0.007217910333911837</x:v>
      </x:c>
    </x:row>
    <x:row r="24">
      <x:c r="A24" s="11" t="str">
        <x:v>q93</x:v>
      </x:c>
      <x:c r="B24" s="13" t="n">
        <x:f>'五轮原始数据'!L16</x:f>
        <x:v>177.99560000000002</x:v>
      </x:c>
      <x:c r="C24" s="13" t="n">
        <x:f>'五轮原始数据'!O16</x:f>
        <x:v>170.9858</x:v>
      </x:c>
      <x:c r="D24" s="14" t="n">
        <x:f>('五轮原始数据'!L16-'五轮原始数据'!O16)/'五轮原始数据'!L16</x:f>
        <x:v>0.039381872360889886</x:v>
      </x:c>
      <x:c r="E24" s="11" t="str">
        <x:f>IF(D24&gt;0,"PR 更快",IF(D24&lt;0,"PR 更慢","持平"))</x:f>
        <x:v>PR 更快</x:v>
      </x:c>
      <x:c r="F24" s="15" t="n">
        <x:f>'五轮原始数据'!M16</x:f>
        <x:v>-0.051218119998472034</x:v>
      </x:c>
      <x:c r="G24" s="15" t="n">
        <x:f>'五轮原始数据'!N16</x:f>
        <x:v>0.03287946443619938</x:v>
      </x:c>
      <x:c r="H24" s="15" t="n">
        <x:f>'五轮原始数据'!P16</x:f>
        <x:v>-0.013087636517184587</x:v>
      </x:c>
      <x:c r="I24" s="15" t="n">
        <x:f>'五轮原始数据'!Q16</x:f>
        <x:v>0.02304401886004559</x:v>
      </x:c>
    </x:row>
    <x:row r="25">
      <x:c r="A25" s="11" t="str">
        <x:v>q67</x:v>
      </x:c>
      <x:c r="B25" s="13" t="n">
        <x:f>'五轮原始数据'!L17</x:f>
        <x:v>266.5928</x:v>
      </x:c>
      <x:c r="C25" s="13" t="n">
        <x:f>'五轮原始数据'!O17</x:f>
        <x:v>265.8618</x:v>
      </x:c>
      <x:c r="D25" s="14" t="n">
        <x:f>('五轮原始数据'!L17-'五轮原始数据'!O17)/'五轮原始数据'!L17</x:f>
        <x:v>0.0027420095366416293</x:v>
      </x:c>
      <x:c r="E25" s="11" t="str">
        <x:f>IF(D25&gt;0,"PR 更快",IF(D25&lt;0,"PR 更慢","持平"))</x:f>
        <x:v>PR 更快</x:v>
      </x:c>
      <x:c r="F25" s="15" t="n">
        <x:f>'五轮原始数据'!M17</x:f>
        <x:v>-0.008161510738474709</x:v>
      </x:c>
      <x:c r="G25" s="15" t="n">
        <x:f>'五轮原始数据'!N17</x:f>
        <x:v>0.01362827503218389</x:v>
      </x:c>
      <x:c r="H25" s="15" t="n">
        <x:f>'五轮原始数据'!P17</x:f>
        <x:v>-0.005302755040400786</x:v>
      </x:c>
      <x:c r="I25" s="15" t="n">
        <x:f>'五轮原始数据'!Q17</x:f>
        <x:v>0.00816288763560613</x:v>
      </x:c>
    </x:row>
    <x:row r="28">
      <x:c r="A28" s="8" t="str">
        <x:v>16 条 SQL 平均耗时（非加权）</x:v>
      </x:c>
      <x:c r="B28" s="8" t="str">
        <x:v>数值</x:v>
      </x:c>
    </x:row>
    <x:row r="29">
      <x:c r="A29" t="str">
        <x:v>原版均值 (s)</x:v>
      </x:c>
      <x:c r="B29" s="16" t="n">
        <x:f>AVERAGE(B10:B25)</x:f>
        <x:v>238.0138875</x:v>
      </x:c>
    </x:row>
    <x:row r="30">
      <x:c r="A30" t="str">
        <x:v>PR 均值 (s)</x:v>
      </x:c>
      <x:c r="B30" s="16" t="n">
        <x:f>AVERAGE(C10:C25)</x:f>
        <x:v>231.69035</x:v>
      </x:c>
    </x:row>
    <x:row r="31">
      <x:c r="A31" t="str">
        <x:v>耗时减少率</x:v>
      </x:c>
      <x:c r="B31" s="17" t="n">
        <x:f>(B29-B30)/B29</x:f>
        <x:v>0.02656793503278255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8" hidden="0" customWidth="1"/>
    <x:col min="14" max="14" width="18" hidden="0" customWidth="1"/>
    <x:col min="15" max="15" width="15" hidden="0" customWidth="1"/>
    <x:col min="16" max="16" width="18" hidden="0" customWidth="1"/>
    <x:col min="17" max="17" width="18" hidden="0" customWidth="1"/>
  </x:cols>
  <x:sheetData>
    <x:row r="1">
      <x:c r="A1" s="10" t="str">
        <x:v>SQL</x:v>
      </x:c>
      <x:c r="B1" s="10" t="str">
        <x:v>原版 R1 (s)</x:v>
      </x:c>
      <x:c r="C1" s="10" t="str">
        <x:v>原版 R2 (s)</x:v>
      </x:c>
      <x:c r="D1" s="10" t="str">
        <x:v>原版 R3 (s)</x:v>
      </x:c>
      <x:c r="E1" s="10" t="str">
        <x:v>原版 R4 (s)</x:v>
      </x:c>
      <x:c r="F1" s="10" t="str">
        <x:v>原版 R5 (s)</x:v>
      </x:c>
      <x:c r="G1" s="10" t="str">
        <x:v>PR R1 (s)</x:v>
      </x:c>
      <x:c r="H1" s="10" t="str">
        <x:v>PR R2 (s)</x:v>
      </x:c>
      <x:c r="I1" s="10" t="str">
        <x:v>PR R3 (s)</x:v>
      </x:c>
      <x:c r="J1" s="10" t="str">
        <x:v>PR R4 (s)</x:v>
      </x:c>
      <x:c r="K1" s="10" t="str">
        <x:v>PR R5 (s)</x:v>
      </x:c>
      <x:c r="L1" s="10" t="str">
        <x:v>原版均值 (s)</x:v>
      </x:c>
      <x:c r="M1" s="10" t="str">
        <x:v>原版波动下界 (%)</x:v>
      </x:c>
      <x:c r="N1" s="10" t="str">
        <x:v>原版波动上界 (%)</x:v>
      </x:c>
      <x:c r="O1" s="10" t="str">
        <x:v>PR 均值 (s)</x:v>
      </x:c>
      <x:c r="P1" s="10" t="str">
        <x:v>PR 波动下界 (%)</x:v>
      </x:c>
      <x:c r="Q1" s="10" t="str">
        <x:v>PR 波动上界 (%)</x:v>
      </x:c>
    </x:row>
    <x:row r="2">
      <x:c r="A2" s="11" t="str">
        <x:v>q9</x:v>
      </x:c>
      <x:c r="B2" s="13" t="n">
        <x:v>142.731</x:v>
      </x:c>
      <x:c r="C2" s="13" t="n">
        <x:v>149.031</x:v>
      </x:c>
      <x:c r="D2" s="13" t="n">
        <x:v>152.232</x:v>
      </x:c>
      <x:c r="E2" s="13" t="n">
        <x:v>151.007</x:v>
      </x:c>
      <x:c r="F2" s="13" t="n">
        <x:v>149.561</x:v>
      </x:c>
      <x:c r="G2" s="13" t="n">
        <x:v>135.794</x:v>
      </x:c>
      <x:c r="H2" s="13" t="n">
        <x:v>139.701</x:v>
      </x:c>
      <x:c r="I2" s="13" t="n">
        <x:v>143.343</x:v>
      </x:c>
      <x:c r="J2" s="13" t="n">
        <x:v>137.67</x:v>
      </x:c>
      <x:c r="K2" s="13" t="n">
        <x:v>137.488</x:v>
      </x:c>
      <x:c r="L2" s="13" t="n">
        <x:f>AVERAGE(B2:F2)</x:f>
        <x:v>148.9124</x:v>
      </x:c>
      <x:c r="M2" s="15" t="n">
        <x:f>MIN(B2:F2)/L2-1</x:f>
        <x:v>-0.041510310759882985</x:v>
      </x:c>
      <x:c r="N2" s="15" t="n">
        <x:f>MAX(B2:F2)/L2-1</x:f>
        <x:v>0.022292300708335988</x:v>
      </x:c>
      <x:c r="O2" s="13" t="n">
        <x:f>AVERAGE(G2:K2)</x:f>
        <x:v>138.79919999999998</x:v>
      </x:c>
      <x:c r="P2" s="15" t="n">
        <x:f>MIN(G2:K2)/O2-1</x:f>
        <x:v>-0.02165142162202649</x:v>
      </x:c>
      <x:c r="Q2" s="15" t="n">
        <x:f>MAX(G2:K2)/O2-1</x:f>
        <x:v>0.032736499922189743</x:v>
      </x:c>
    </x:row>
    <x:row r="3">
      <x:c r="A3" s="11" t="str">
        <x:v>q14a</x:v>
      </x:c>
      <x:c r="B3" s="13" t="n">
        <x:v>151.153</x:v>
      </x:c>
      <x:c r="C3" s="13" t="n">
        <x:v>155.002</x:v>
      </x:c>
      <x:c r="D3" s="13" t="n">
        <x:v>246.207</x:v>
      </x:c>
      <x:c r="E3" s="13" t="n">
        <x:v>146.026</x:v>
      </x:c>
      <x:c r="F3" s="13" t="n">
        <x:v>148.138</x:v>
      </x:c>
      <x:c r="G3" s="13" t="n">
        <x:v>148.636</x:v>
      </x:c>
      <x:c r="H3" s="13" t="n">
        <x:v>145.744</x:v>
      </x:c>
      <x:c r="I3" s="13" t="n">
        <x:v>164.341</x:v>
      </x:c>
      <x:c r="J3" s="13" t="n">
        <x:v>138.675</x:v>
      </x:c>
      <x:c r="K3" s="13" t="n">
        <x:v>157.861</x:v>
      </x:c>
      <x:c r="L3" s="13" t="n">
        <x:f>AVERAGE(B3:F3)</x:f>
        <x:v>169.30519999999999</x:v>
      </x:c>
      <x:c r="M3" s="15" t="n">
        <x:f>MIN(B3:F3)/L3-1</x:f>
        <x:v>-0.13749843477932144</x:v>
      </x:c>
      <x:c r="N3" s="15" t="n">
        <x:f>MAX(B3:F3)/L3-1</x:f>
        <x:v>0.4542199530788187</x:v>
      </x:c>
      <x:c r="O3" s="13" t="n">
        <x:f>AVERAGE(G3:K3)</x:f>
        <x:v>151.0514</x:v>
      </x:c>
      <x:c r="P3" s="15" t="n">
        <x:f>MIN(G3:K3)/O3-1</x:f>
        <x:v>-0.08193502344235137</x:v>
      </x:c>
      <x:c r="Q3" s="15" t="n">
        <x:f>MAX(G3:K3)/O3-1</x:f>
        <x:v>0.08798064764709235</x:v>
      </x:c>
    </x:row>
    <x:row r="4">
      <x:c r="A4" s="11" t="str">
        <x:v>q14b</x:v>
      </x:c>
      <x:c r="B4" s="13" t="n">
        <x:v>131.852</x:v>
      </x:c>
      <x:c r="C4" s="13" t="n">
        <x:v>135.409</x:v>
      </x:c>
      <x:c r="D4" s="13" t="n">
        <x:v>141.817</x:v>
      </x:c>
      <x:c r="E4" s="13" t="n">
        <x:v>138.118</x:v>
      </x:c>
      <x:c r="F4" s="13" t="n">
        <x:v>137.919</x:v>
      </x:c>
      <x:c r="G4" s="13" t="n">
        <x:v>132.23</x:v>
      </x:c>
      <x:c r="H4" s="13" t="n">
        <x:v>131.17</x:v>
      </x:c>
      <x:c r="I4" s="13" t="n">
        <x:v>132.269</x:v>
      </x:c>
      <x:c r="J4" s="13" t="n">
        <x:v>141.273</x:v>
      </x:c>
      <x:c r="K4" s="13" t="n">
        <x:v>131.107</x:v>
      </x:c>
      <x:c r="L4" s="13" t="n">
        <x:f>AVERAGE(B4:F4)</x:f>
        <x:v>137.02299999999997</x:v>
      </x:c>
      <x:c r="M4" s="15" t="n">
        <x:f>MIN(B4:F4)/L4-1</x:f>
        <x:v>-0.03773818993891509</x:v>
      </x:c>
      <x:c r="N4" s="15" t="n">
        <x:f>MAX(B4:F4)/L4-1</x:f>
        <x:v>0.034986827029039214</x:v>
      </x:c>
      <x:c r="O4" s="13" t="n">
        <x:f>AVERAGE(G4:K4)</x:f>
        <x:v>133.6098</x:v>
      </x:c>
      <x:c r="P4" s="15" t="n">
        <x:f>MIN(G4:K4)/O4-1</x:f>
        <x:v>-0.018732158868586035</x:v>
      </x:c>
      <x:c r="Q4" s="15" t="n">
        <x:f>MAX(G4:K4)/O4-1</x:f>
        <x:v>0.05735507425353514</x:v>
      </x:c>
    </x:row>
    <x:row r="5">
      <x:c r="A5" s="11" t="str">
        <x:v>q16</x:v>
      </x:c>
      <x:c r="B5" s="13" t="n">
        <x:v>85.214</x:v>
      </x:c>
      <x:c r="C5" s="13" t="n">
        <x:v>88.715</x:v>
      </x:c>
      <x:c r="D5" s="13" t="n">
        <x:v>87.928</x:v>
      </x:c>
      <x:c r="E5" s="13" t="n">
        <x:v>91.246</x:v>
      </x:c>
      <x:c r="F5" s="13" t="n">
        <x:v>94.829</x:v>
      </x:c>
      <x:c r="G5" s="13" t="n">
        <x:v>83.769</x:v>
      </x:c>
      <x:c r="H5" s="13" t="n">
        <x:v>87.971</x:v>
      </x:c>
      <x:c r="I5" s="13" t="n">
        <x:v>84.636</x:v>
      </x:c>
      <x:c r="J5" s="13" t="n">
        <x:v>88.784</x:v>
      </x:c>
      <x:c r="K5" s="13" t="n">
        <x:v>86.665</x:v>
      </x:c>
      <x:c r="L5" s="13" t="n">
        <x:f>AVERAGE(B5:F5)</x:f>
        <x:v>89.5864</x:v>
      </x:c>
      <x:c r="M5" s="15" t="n">
        <x:f>MIN(B5:F5)/L5-1</x:f>
        <x:v>-0.04880651527463986</x:v>
      </x:c>
      <x:c r="N5" s="15" t="n">
        <x:f>MAX(B5:F5)/L5-1</x:f>
        <x:v>0.05852004322084592</x:v>
      </x:c>
      <x:c r="O5" s="13" t="n">
        <x:f>AVERAGE(G5:K5)</x:f>
        <x:v>86.365</x:v>
      </x:c>
      <x:c r="P5" s="15" t="n">
        <x:f>MIN(G5:K5)/O5-1</x:f>
        <x:v>-0.0300584727609563</x:v>
      </x:c>
      <x:c r="Q5" s="15" t="n">
        <x:f>MAX(G5:K5)/O5-1</x:f>
        <x:v>0.02800903143634592</x:v>
      </x:c>
    </x:row>
    <x:row r="6">
      <x:c r="A6" s="11" t="str">
        <x:v>q23a</x:v>
      </x:c>
      <x:c r="B6" s="13" t="n">
        <x:v>414.319</x:v>
      </x:c>
      <x:c r="C6" s="13" t="n">
        <x:v>286.319</x:v>
      </x:c>
      <x:c r="D6" s="13" t="n">
        <x:v>350.641</x:v>
      </x:c>
      <x:c r="E6" s="13" t="n">
        <x:v>289.646</x:v>
      </x:c>
      <x:c r="F6" s="13" t="n">
        <x:v>317.639</x:v>
      </x:c>
      <x:c r="G6" s="13" t="n">
        <x:v>295.121</x:v>
      </x:c>
      <x:c r="H6" s="13" t="n">
        <x:v>295.821</x:v>
      </x:c>
      <x:c r="I6" s="13" t="n">
        <x:v>288.142</x:v>
      </x:c>
      <x:c r="J6" s="13" t="n">
        <x:v>289.581</x:v>
      </x:c>
      <x:c r="K6" s="13" t="n">
        <x:v>316.09</x:v>
      </x:c>
      <x:c r="L6" s="13" t="n">
        <x:f>AVERAGE(B6:F6)</x:f>
        <x:v>331.71279999999996</x:v>
      </x:c>
      <x:c r="M6" s="15" t="n">
        <x:f>MIN(B6:F6)/L6-1</x:f>
        <x:v>-0.13684669388700088</x:v>
      </x:c>
      <x:c r="N6" s="15" t="n">
        <x:f>MAX(B6:F6)/L6-1</x:f>
        <x:v>0.24902928075130082</x:v>
      </x:c>
      <x:c r="O6" s="13" t="n">
        <x:f>AVERAGE(G6:K6)</x:f>
        <x:v>296.95099999999996</x:v>
      </x:c>
      <x:c r="P6" s="15" t="n">
        <x:f>MIN(G6:K6)/O6-1</x:f>
        <x:v>-0.02966482685695615</x:v>
      </x:c>
      <x:c r="Q6" s="15" t="n">
        <x:f>MAX(G6:K6)/O6-1</x:f>
        <x:v>0.06445171088832846</x:v>
      </x:c>
    </x:row>
    <x:row r="7">
      <x:c r="A7" s="11" t="str">
        <x:v>q23b</x:v>
      </x:c>
      <x:c r="B7" s="13" t="n">
        <x:v>403.974</x:v>
      </x:c>
      <x:c r="C7" s="13" t="n">
        <x:v>371.658</x:v>
      </x:c>
      <x:c r="D7" s="13" t="n">
        <x:v>352.993</x:v>
      </x:c>
      <x:c r="E7" s="13" t="n">
        <x:v>374.866</x:v>
      </x:c>
      <x:c r="F7" s="13" t="n">
        <x:v>457.51</x:v>
      </x:c>
      <x:c r="G7" s="13" t="n">
        <x:v>400.461</x:v>
      </x:c>
      <x:c r="H7" s="13" t="n">
        <x:v>375.02</x:v>
      </x:c>
      <x:c r="I7" s="13" t="n">
        <x:v>358.614</x:v>
      </x:c>
      <x:c r="J7" s="13" t="n">
        <x:v>516.017</x:v>
      </x:c>
      <x:c r="K7" s="13" t="n">
        <x:v>356.599</x:v>
      </x:c>
      <x:c r="L7" s="13" t="n">
        <x:f>AVERAGE(B7:F7)</x:f>
        <x:v>392.2002</x:v>
      </x:c>
      <x:c r="M7" s="15" t="n">
        <x:f>MIN(B7:F7)/L7-1</x:f>
        <x:v>-0.0999673126122832</x:v>
      </x:c>
      <x:c r="N7" s="15" t="n">
        <x:f>MAX(B7:F7)/L7-1</x:f>
        <x:v>0.16652158769934333</x:v>
      </x:c>
      <x:c r="O7" s="13" t="n">
        <x:f>AVERAGE(G7:K7)</x:f>
        <x:v>401.3422</x:v>
      </x:c>
      <x:c r="P7" s="15" t="n">
        <x:f>MIN(G7:K7)/O7-1</x:f>
        <x:v>-0.11148391572079885</x:v>
      </x:c>
      <x:c r="Q7" s="15" t="n">
        <x:f>MAX(G7:K7)/O7-1</x:f>
        <x:v>0.28572823889439003</x:v>
      </x:c>
    </x:row>
    <x:row r="8">
      <x:c r="A8" s="11" t="str">
        <x:v>q24a</x:v>
      </x:c>
      <x:c r="B8" s="13" t="n">
        <x:v>615.469</x:v>
      </x:c>
      <x:c r="C8" s="13" t="n">
        <x:v>597.529</x:v>
      </x:c>
      <x:c r="D8" s="13" t="n">
        <x:v>610.852</x:v>
      </x:c>
      <x:c r="E8" s="13" t="n">
        <x:v>593.492</x:v>
      </x:c>
      <x:c r="F8" s="13" t="n">
        <x:v>594.851</x:v>
      </x:c>
      <x:c r="G8" s="13" t="n">
        <x:v>634.738</x:v>
      </x:c>
      <x:c r="H8" s="13" t="n">
        <x:v>580.355</x:v>
      </x:c>
      <x:c r="I8" s="13" t="n">
        <x:v>617.874</x:v>
      </x:c>
      <x:c r="J8" s="13" t="n">
        <x:v>590.952</x:v>
      </x:c>
      <x:c r="K8" s="13" t="n">
        <x:v>604.667</x:v>
      </x:c>
      <x:c r="L8" s="13" t="n">
        <x:f>AVERAGE(B8:F8)</x:f>
        <x:v>602.4386</x:v>
      </x:c>
      <x:c r="M8" s="15" t="n">
        <x:f>MIN(B8:F8)/L8-1</x:f>
        <x:v>-0.014850642040533213</x:v>
      </x:c>
      <x:c r="N8" s="15" t="n">
        <x:f>MAX(B8:F8)/L8-1</x:f>
        <x:v>0.021629424143805087</x:v>
      </x:c>
      <x:c r="O8" s="13" t="n">
        <x:f>AVERAGE(G8:K8)</x:f>
        <x:v>605.7171999999999</x:v>
      </x:c>
      <x:c r="P8" s="15" t="n">
        <x:f>MIN(G8:K8)/O8-1</x:f>
        <x:v>-0.041871355147253375</x:v>
      </x:c>
      <x:c r="Q8" s="15" t="n">
        <x:f>MAX(G8:K8)/O8-1</x:f>
        <x:v>0.04791146759576925</x:v>
      </x:c>
    </x:row>
    <x:row r="9">
      <x:c r="A9" s="11" t="str">
        <x:v>q24b</x:v>
      </x:c>
      <x:c r="B9" s="13" t="n">
        <x:v>610.645</x:v>
      </x:c>
      <x:c r="C9" s="13" t="n">
        <x:v>592.145</x:v>
      </x:c>
      <x:c r="D9" s="13" t="n">
        <x:v>586.931</x:v>
      </x:c>
      <x:c r="E9" s="13" t="n">
        <x:v>587.843</x:v>
      </x:c>
      <x:c r="F9" s="13" t="n">
        <x:v>609.327</x:v>
      </x:c>
      <x:c r="G9" s="13" t="n">
        <x:v>582.521</x:v>
      </x:c>
      <x:c r="H9" s="13" t="n">
        <x:v>573.441</x:v>
      </x:c>
      <x:c r="I9" s="13" t="n">
        <x:v>582.768</x:v>
      </x:c>
      <x:c r="J9" s="13" t="n">
        <x:v>566.089</x:v>
      </x:c>
      <x:c r="K9" s="13" t="n">
        <x:v>608.403</x:v>
      </x:c>
      <x:c r="L9" s="13" t="n">
        <x:f>AVERAGE(B9:F9)</x:f>
        <x:v>597.3781999999999</x:v>
      </x:c>
      <x:c r="M9" s="15" t="n">
        <x:f>MIN(B9:F9)/L9-1</x:f>
        <x:v>-0.017488418559632457</x:v>
      </x:c>
      <x:c r="N9" s="15" t="n">
        <x:f>MAX(B9:F9)/L9-1</x:f>
        <x:v>0.022208376536003716</x:v>
      </x:c>
      <x:c r="O9" s="13" t="n">
        <x:f>AVERAGE(G9:K9)</x:f>
        <x:v>582.6443999999999</x:v>
      </x:c>
      <x:c r="P9" s="15" t="n">
        <x:f>MIN(G9:K9)/O9-1</x:f>
        <x:v>-0.0284142437479874</x:v>
      </x:c>
      <x:c r="Q9" s="15" t="n">
        <x:f>MAX(G9:K9)/O9-1</x:f>
        <x:v>0.0442098130523525</x:v>
      </x:c>
    </x:row>
    <x:row r="10">
      <x:c r="A10" s="11" t="str">
        <x:v>q28</x:v>
      </x:c>
      <x:c r="B10" s="13" t="n">
        <x:v>180.087</x:v>
      </x:c>
      <x:c r="C10" s="13" t="n">
        <x:v>178.288</x:v>
      </x:c>
      <x:c r="D10" s="13" t="n">
        <x:v>179.511</x:v>
      </x:c>
      <x:c r="E10" s="13" t="n">
        <x:v>178.595</x:v>
      </x:c>
      <x:c r="F10" s="13" t="n">
        <x:v>180.73</x:v>
      </x:c>
      <x:c r="G10" s="13" t="n">
        <x:v>170.338</x:v>
      </x:c>
      <x:c r="H10" s="13" t="n">
        <x:v>166.234</x:v>
      </x:c>
      <x:c r="I10" s="13" t="n">
        <x:v>166.524</x:v>
      </x:c>
      <x:c r="J10" s="13" t="n">
        <x:v>166.963</x:v>
      </x:c>
      <x:c r="K10" s="13" t="n">
        <x:v>169.439</x:v>
      </x:c>
      <x:c r="L10" s="13" t="n">
        <x:f>AVERAGE(B10:F10)</x:f>
        <x:v>179.4422</x:v>
      </x:c>
      <x:c r="M10" s="15" t="n">
        <x:f>MIN(B10:F10)/L10-1</x:f>
        <x:v>-0.006432154755124486</x:v>
      </x:c>
      <x:c r="N10" s="15" t="n">
        <x:f>MAX(B10:F10)/L10-1</x:f>
        <x:v>0.007176684191343874</x:v>
      </x:c>
      <x:c r="O10" s="13" t="n">
        <x:f>AVERAGE(G10:K10)</x:f>
        <x:v>167.8996</x:v>
      </x:c>
      <x:c r="P10" s="15" t="n">
        <x:f>MIN(G10:K10)/O10-1</x:f>
        <x:v>-0.009920214223261947</x:v>
      </x:c>
      <x:c r="Q10" s="15" t="n">
        <x:f>MAX(G10:K10)/O10-1</x:f>
        <x:v>0.014522964914746694</x:v>
      </x:c>
    </x:row>
    <x:row r="11">
      <x:c r="A11" s="11" t="str">
        <x:v>q50</x:v>
      </x:c>
      <x:c r="B11" s="13" t="n">
        <x:v>114.644</x:v>
      </x:c>
      <x:c r="C11" s="13" t="n">
        <x:v>108.905</x:v>
      </x:c>
      <x:c r="D11" s="13" t="n">
        <x:v>108.328</x:v>
      </x:c>
      <x:c r="E11" s="13" t="n">
        <x:v>112.376</x:v>
      </x:c>
      <x:c r="F11" s="13" t="n">
        <x:v>111.343</x:v>
      </x:c>
      <x:c r="G11" s="13" t="n">
        <x:v>106.716</x:v>
      </x:c>
      <x:c r="H11" s="13" t="n">
        <x:v>106.149</x:v>
      </x:c>
      <x:c r="I11" s="13" t="n">
        <x:v>111.508</x:v>
      </x:c>
      <x:c r="J11" s="13" t="n">
        <x:v>112.923</x:v>
      </x:c>
      <x:c r="K11" s="13" t="n">
        <x:v>114.483</x:v>
      </x:c>
      <x:c r="L11" s="13" t="n">
        <x:f>AVERAGE(B11:F11)</x:f>
        <x:v>111.1192</x:v>
      </x:c>
      <x:c r="M11" s="15" t="n">
        <x:f>MIN(B11:F11)/L11-1</x:f>
        <x:v>-0.02511897133888652</x:v>
      </x:c>
      <x:c r="N11" s="15" t="n">
        <x:f>MAX(B11:F11)/L11-1</x:f>
        <x:v>0.03172089071915574</x:v>
      </x:c>
      <x:c r="O11" s="13" t="n">
        <x:f>AVERAGE(G11:K11)</x:f>
        <x:v>110.3558</x:v>
      </x:c>
      <x:c r="P11" s="15" t="n">
        <x:f>MIN(G11:K11)/O11-1</x:f>
        <x:v>-0.038120334409247225</x:v>
      </x:c>
      <x:c r="Q11" s="15" t="n">
        <x:f>MAX(G11:K11)/O11-1</x:f>
        <x:v>0.03739903113384169</x:v>
      </x:c>
    </x:row>
    <x:row r="12">
      <x:c r="A12" s="11" t="str">
        <x:v>q64</x:v>
      </x:c>
      <x:c r="B12" s="13" t="n">
        <x:v>164.484</x:v>
      </x:c>
      <x:c r="C12" s="13" t="n">
        <x:v>158.882</x:v>
      </x:c>
      <x:c r="D12" s="13" t="n">
        <x:v>159.05</x:v>
      </x:c>
      <x:c r="E12" s="13" t="n">
        <x:v>166.424</x:v>
      </x:c>
      <x:c r="F12" s="13" t="n">
        <x:v>163.003</x:v>
      </x:c>
      <x:c r="G12" s="13" t="n">
        <x:v>164.361</x:v>
      </x:c>
      <x:c r="H12" s="13" t="n">
        <x:v>165.615</x:v>
      </x:c>
      <x:c r="I12" s="13" t="n">
        <x:v>167.745</x:v>
      </x:c>
      <x:c r="J12" s="13" t="n">
        <x:v>161.953</x:v>
      </x:c>
      <x:c r="K12" s="13" t="n">
        <x:v>168.156</x:v>
      </x:c>
      <x:c r="L12" s="13" t="n">
        <x:f>AVERAGE(B12:F12)</x:f>
        <x:v>162.36860000000001</x:v>
      </x:c>
      <x:c r="M12" s="15" t="n">
        <x:f>MIN(B12:F12)/L12-1</x:f>
        <x:v>-0.021473363692241065</x:v>
      </x:c>
      <x:c r="N12" s="15" t="n">
        <x:f>MAX(B12:F12)/L12-1</x:f>
        <x:v>0.024976504077758754</x:v>
      </x:c>
      <x:c r="O12" s="13" t="n">
        <x:f>AVERAGE(G12:K12)</x:f>
        <x:v>165.56599999999997</x:v>
      </x:c>
      <x:c r="P12" s="15" t="n">
        <x:f>MIN(G12:K12)/O12-1</x:f>
        <x:v>-0.02182211323580907</x:v>
      </x:c>
      <x:c r="Q12" s="15" t="n">
        <x:f>MAX(G12:K12)/O12-1</x:f>
        <x:v>0.015643308408731516</x:v>
      </x:c>
    </x:row>
    <x:row r="13">
      <x:c r="A13" s="11" t="str">
        <x:v>q75</x:v>
      </x:c>
      <x:c r="B13" s="13" t="n">
        <x:v>131.755</x:v>
      </x:c>
      <x:c r="C13" s="13" t="n">
        <x:v>132.246</x:v>
      </x:c>
      <x:c r="D13" s="13" t="n">
        <x:v>125.931</x:v>
      </x:c>
      <x:c r="E13" s="13" t="n">
        <x:v>131.407</x:v>
      </x:c>
      <x:c r="F13" s="13" t="n">
        <x:v>133.141</x:v>
      </x:c>
      <x:c r="G13" s="13" t="n">
        <x:v>123.19</x:v>
      </x:c>
      <x:c r="H13" s="13" t="n">
        <x:v>129.224</x:v>
      </x:c>
      <x:c r="I13" s="13" t="n">
        <x:v>128.198</x:v>
      </x:c>
      <x:c r="J13" s="13" t="n">
        <x:v>130.324</x:v>
      </x:c>
      <x:c r="K13" s="13" t="n">
        <x:v>134.336</x:v>
      </x:c>
      <x:c r="L13" s="13" t="n">
        <x:f>AVERAGE(B13:F13)</x:f>
        <x:v>130.896</x:v>
      </x:c>
      <x:c r="M13" s="15" t="n">
        <x:f>MIN(B13:F13)/L13-1</x:f>
        <x:v>-0.03793087642097537</x:v>
      </x:c>
      <x:c r="N13" s="15" t="n">
        <x:f>MAX(B13:F13)/L13-1</x:f>
        <x:v>0.017151020657621308</x:v>
      </x:c>
      <x:c r="O13" s="13" t="n">
        <x:f>AVERAGE(G13:K13)</x:f>
        <x:v>129.0544</x:v>
      </x:c>
      <x:c r="P13" s="15" t="n">
        <x:f>MIN(G13:K13)/O13-1</x:f>
        <x:v>-0.04544130227252996</x:v>
      </x:c>
      <x:c r="Q13" s="15" t="n">
        <x:f>MAX(G13:K13)/O13-1</x:f>
        <x:v>0.040925377205271785</x:v>
      </x:c>
    </x:row>
    <x:row r="14">
      <x:c r="A14" s="11" t="str">
        <x:v>q78</x:v>
      </x:c>
      <x:c r="B14" s="13" t="n">
        <x:v>168.756</x:v>
      </x:c>
      <x:c r="C14" s="13" t="n">
        <x:v>192.783</x:v>
      </x:c>
      <x:c r="D14" s="13" t="n">
        <x:v>167.943</x:v>
      </x:c>
      <x:c r="E14" s="13" t="n">
        <x:v>179.468</x:v>
      </x:c>
      <x:c r="F14" s="13" t="n">
        <x:v>172.196</x:v>
      </x:c>
      <x:c r="G14" s="13" t="n">
        <x:v>178.481</x:v>
      </x:c>
      <x:c r="H14" s="13" t="n">
        <x:v>170.582</x:v>
      </x:c>
      <x:c r="I14" s="13" t="n">
        <x:v>173.095</x:v>
      </x:c>
      <x:c r="J14" s="13" t="n">
        <x:v>171.561</x:v>
      </x:c>
      <x:c r="K14" s="13" t="n">
        <x:v>181.223</x:v>
      </x:c>
      <x:c r="L14" s="13" t="n">
        <x:f>AVERAGE(B14:F14)</x:f>
        <x:v>176.2292</x:v>
      </x:c>
      <x:c r="M14" s="15" t="n">
        <x:f>MIN(B14:F14)/L14-1</x:f>
        <x:v>-0.04701944967122351</x:v>
      </x:c>
      <x:c r="N14" s="15" t="n">
        <x:f>MAX(B14:F14)/L14-1</x:f>
        <x:v>0.09393335497182087</x:v>
      </x:c>
      <x:c r="O14" s="13" t="n">
        <x:f>AVERAGE(G14:K14)</x:f>
        <x:v>174.9884</x:v>
      </x:c>
      <x:c r="P14" s="15" t="n">
        <x:f>MIN(G14:K14)/O14-1</x:f>
        <x:v>-0.02518109771847743</x:v>
      </x:c>
      <x:c r="Q14" s="15" t="n">
        <x:f>MAX(G14:K14)/O14-1</x:f>
        <x:v>0.035628647384626566</x:v>
      </x:c>
    </x:row>
    <x:row r="15">
      <x:c r="A15" s="11" t="str">
        <x:v>q88</x:v>
      </x:c>
      <x:c r="B15" s="13" t="n">
        <x:v>135.653</x:v>
      </x:c>
      <x:c r="C15" s="13" t="n">
        <x:v>134.395</x:v>
      </x:c>
      <x:c r="D15" s="13" t="n">
        <x:v>138.269</x:v>
      </x:c>
      <x:c r="E15" s="13" t="n">
        <x:v>133.424</x:v>
      </x:c>
      <x:c r="F15" s="13" t="n">
        <x:v>133.368</x:v>
      </x:c>
      <x:c r="G15" s="13" t="n">
        <x:v>126.074</x:v>
      </x:c>
      <x:c r="H15" s="13" t="n">
        <x:v>125.152</x:v>
      </x:c>
      <x:c r="I15" s="13" t="n">
        <x:v>125.398</x:v>
      </x:c>
      <x:c r="J15" s="13" t="n">
        <x:v>125.882</x:v>
      </x:c>
      <x:c r="K15" s="13" t="n">
        <x:v>126.762</x:v>
      </x:c>
      <x:c r="L15" s="13" t="n">
        <x:f>AVERAGE(B15:F15)</x:f>
        <x:v>135.02179999999998</x:v>
      </x:c>
      <x:c r="M15" s="15" t="n">
        <x:f>MIN(B15:F15)/L15-1</x:f>
        <x:v>-0.012248392481806536</x:v>
      </x:c>
      <x:c r="N15" s="15" t="n">
        <x:f>MAX(B15:F15)/L15-1</x:f>
        <x:v>0.02404944979255208</x:v>
      </x:c>
      <x:c r="O15" s="13" t="n">
        <x:f>AVERAGE(G15:K15)</x:f>
        <x:v>125.8536</x:v>
      </x:c>
      <x:c r="P15" s="15" t="n">
        <x:f>MIN(G15:K15)/O15-1</x:f>
        <x:v>-0.0055747312750688005</x:v>
      </x:c>
      <x:c r="Q15" s="15" t="n">
        <x:f>MAX(G15:K15)/O15-1</x:f>
        <x:v>0.007217910333911837</x:v>
      </x:c>
    </x:row>
    <x:row r="16">
      <x:c r="A16" s="11" t="str">
        <x:v>q93</x:v>
      </x:c>
      <x:c r="B16" s="13" t="n">
        <x:v>182.502</x:v>
      </x:c>
      <x:c r="C16" s="13" t="n">
        <x:v>183.848</x:v>
      </x:c>
      <x:c r="D16" s="13" t="n">
        <x:v>173.605</x:v>
      </x:c>
      <x:c r="E16" s="13" t="n">
        <x:v>181.144</x:v>
      </x:c>
      <x:c r="F16" s="13" t="n">
        <x:v>168.879</x:v>
      </x:c>
      <x:c r="G16" s="13" t="n">
        <x:v>171.459</x:v>
      </x:c>
      <x:c r="H16" s="13" t="n">
        <x:v>174.926</x:v>
      </x:c>
      <x:c r="I16" s="13" t="n">
        <x:v>168.748</x:v>
      </x:c>
      <x:c r="J16" s="13" t="n">
        <x:v>170.424</x:v>
      </x:c>
      <x:c r="K16" s="13" t="n">
        <x:v>169.372</x:v>
      </x:c>
      <x:c r="L16" s="13" t="n">
        <x:f>AVERAGE(B16:F16)</x:f>
        <x:v>177.99560000000002</x:v>
      </x:c>
      <x:c r="M16" s="15" t="n">
        <x:f>MIN(B16:F16)/L16-1</x:f>
        <x:v>-0.051218119998472034</x:v>
      </x:c>
      <x:c r="N16" s="15" t="n">
        <x:f>MAX(B16:F16)/L16-1</x:f>
        <x:v>0.03287946443619938</x:v>
      </x:c>
      <x:c r="O16" s="13" t="n">
        <x:f>AVERAGE(G16:K16)</x:f>
        <x:v>170.9858</x:v>
      </x:c>
      <x:c r="P16" s="15" t="n">
        <x:f>MIN(G16:K16)/O16-1</x:f>
        <x:v>-0.013087636517184587</x:v>
      </x:c>
      <x:c r="Q16" s="15" t="n">
        <x:f>MAX(G16:K16)/O16-1</x:f>
        <x:v>0.02304401886004559</x:v>
      </x:c>
    </x:row>
    <x:row r="17">
      <x:c r="A17" s="11" t="str">
        <x:v>q67</x:v>
      </x:c>
      <x:c r="B17" s="13" t="n">
        <x:v>266.62</x:v>
      </x:c>
      <x:c r="C17" s="13" t="n">
        <x:v>266.048</x:v>
      </x:c>
      <x:c r="D17" s="13" t="n">
        <x:v>265.653</x:v>
      </x:c>
      <x:c r="E17" s="13" t="n">
        <x:v>264.417</x:v>
      </x:c>
      <x:c r="F17" s="13" t="n">
        <x:v>270.226</x:v>
      </x:c>
      <x:c r="G17" s="13" t="n">
        <x:v>265.988</x:v>
      </x:c>
      <x:c r="H17" s="13" t="n">
        <x:v>265.598</x:v>
      </x:c>
      <x:c r="I17" s="13" t="n">
        <x:v>268.032</x:v>
      </x:c>
      <x:c r="J17" s="13" t="n">
        <x:v>264.452</x:v>
      </x:c>
      <x:c r="K17" s="13" t="n">
        <x:v>265.239</x:v>
      </x:c>
      <x:c r="L17" s="13" t="n">
        <x:f>AVERAGE(B17:F17)</x:f>
        <x:v>266.5928</x:v>
      </x:c>
      <x:c r="M17" s="15" t="n">
        <x:f>MIN(B17:F17)/L17-1</x:f>
        <x:v>-0.008161510738474709</x:v>
      </x:c>
      <x:c r="N17" s="15" t="n">
        <x:f>MAX(B17:F17)/L17-1</x:f>
        <x:v>0.01362827503218389</x:v>
      </x:c>
      <x:c r="O17" s="13" t="n">
        <x:f>AVERAGE(G17:K17)</x:f>
        <x:v>265.8618</x:v>
      </x:c>
      <x:c r="P17" s="15" t="n">
        <x:f>MIN(G17:K17)/O17-1</x:f>
        <x:v>-0.005302755040400786</x:v>
      </x:c>
      <x:c r="Q17" s="15" t="n">
        <x:f>MAX(G17:K17)/O17-1</x:f>
        <x:v>0.00816288763560613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>
      <x:c r="A1" s="2" t="str">
        <x:v>测试口径与解读</x:v>
      </x:c>
      <x:c r="B1" s="2"/>
    </x:row>
    <x:row r="3">
      <x:c r="A3" s="19" t="str">
        <x:v>项目</x:v>
      </x:c>
      <x:c r="B3" s="19" t="str">
        <x:v>说明</x:v>
      </x:c>
    </x:row>
    <x:row r="4">
      <x:c r="A4" s="20" t="str">
        <x:v>基准</x:v>
      </x:c>
      <x:c r="B4" s="20" t="str">
        <x:v>TPC-DS 10T；数据库 tpcds_bin_partitioned_varchar_orc_10000</x:v>
      </x:c>
    </x:row>
    <x:row r="5">
      <x:c r="A5" s="20" t="str">
        <x:v>比较对象</x:v>
      </x:c>
      <x:c r="B5" s="20" t="str">
        <x:v>Bolt 原版与包含 skipvalue/readvalue 优化的 PR 产物</x:v>
      </x:c>
    </x:row>
    <x:row r="6">
      <x:c r="A6" s="20" t="str">
        <x:v>轮次</x:v>
      </x:c>
      <x:c r="B6" s="20" t="str">
        <x:v>每个 SQL、每个版本 5 次正式计时；热身轮排除</x:v>
      </x:c>
    </x:row>
    <x:row r="7">
      <x:c r="A7" s="20" t="str">
        <x:v>资源</x:v>
      </x:c>
      <x:c r="B7" s="20" t="str">
        <x:v>30 executors × 8 cores = 240 executor cores</x:v>
      </x:c>
    </x:row>
    <x:row r="8">
      <x:c r="A8" s="20" t="str">
        <x:v>指标定义</x:v>
      </x:c>
      <x:c r="B8" s="20" t="str">
        <x:v>PR 耗时减少率 = (原版均值 − PR 均值) / 原版均值；正值代表 PR 更快，负值代表 PR 更慢</x:v>
      </x:c>
    </x:row>
    <x:row r="9">
      <x:c r="A9" s="20" t="str">
        <x:v>波动区间</x:v>
      </x:c>
      <x:c r="B9" s="20" t="str">
        <x:v>下界 = (五轮最小值 / 均值) − 1；上界 = (五轮最大值 / 均值) − 1。区间显示各轮相对均值的偏离百分比</x:v>
      </x:c>
    </x:row>
    <x:row r="10">
      <x:c r="A10" s="20" t="str">
        <x:v>统计限制</x:v>
      </x:c>
      <x:c r="B10" s="20" t="str">
        <x:v>五轮结果仅为描述性对比，不代表统计显著性；未进行显著性检验</x:v>
      </x:c>
    </x:row>
    <x:row r="11">
      <x:c r="A11" s="20" t="str">
        <x:v>数据质量备注</x:v>
      </x:c>
      <x:c r="B11" s="20" t="str">
        <x:v>q14a 原版第 3 轮和 q23b PR 第 4 轮耗时偏高，原样保留于明细，不做剔除或截尾</x:v>
      </x:c>
    </x:row>
  </x:sheetData>
  <x:mergeCells>
    <x:mergeCell ref="A1:B1"/>
  </x:mergeCells>
  <x:pageMargins left="0.7" right="0.7" top="0.75" bottom="0.75" header="0.3" footer="0.3"/>
</x:worksheet>
</file>